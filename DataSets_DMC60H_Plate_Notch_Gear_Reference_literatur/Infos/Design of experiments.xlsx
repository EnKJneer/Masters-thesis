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23_005_IGF_DatAmount\3_Dokumentation\3_1_16_Datensatz_4\Part series dataset of milling processes for time series prediction\"/>
    </mc:Choice>
  </mc:AlternateContent>
  <xr:revisionPtr revIDLastSave="0" documentId="13_ncr:1_{D020A405-ED5F-4333-B025-ECE1B11DFF64}" xr6:coauthVersionLast="36" xr6:coauthVersionMax="47" xr10:uidLastSave="{00000000-0000-0000-0000-000000000000}"/>
  <bookViews>
    <workbookView xWindow="0" yWindow="0" windowWidth="28800" windowHeight="11505" xr2:uid="{3F07E3DA-DD37-42BE-A092-570B97F7761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P10" i="1"/>
  <c r="P14" i="1"/>
  <c r="L14" i="1"/>
  <c r="N14" i="1" s="1"/>
  <c r="P13" i="1"/>
  <c r="L13" i="1"/>
  <c r="N13" i="1" s="1"/>
  <c r="P12" i="1"/>
  <c r="L12" i="1"/>
  <c r="N12" i="1" s="1"/>
  <c r="L20" i="1"/>
  <c r="N20" i="1" s="1"/>
  <c r="P19" i="1"/>
  <c r="L19" i="1"/>
  <c r="N19" i="1" s="1"/>
  <c r="L18" i="1"/>
  <c r="N18" i="1" s="1"/>
  <c r="P17" i="1"/>
  <c r="L17" i="1"/>
  <c r="N17" i="1" s="1"/>
  <c r="P16" i="1"/>
  <c r="L16" i="1"/>
  <c r="N16" i="1" s="1"/>
  <c r="P15" i="1"/>
  <c r="L15" i="1"/>
  <c r="N15" i="1" s="1"/>
  <c r="P6" i="1"/>
  <c r="L6" i="1"/>
  <c r="N6" i="1" s="1"/>
  <c r="L7" i="1"/>
  <c r="N7" i="1" s="1"/>
  <c r="P7" i="1"/>
  <c r="L8" i="1"/>
  <c r="N8" i="1" s="1"/>
  <c r="P8" i="1"/>
  <c r="L9" i="1"/>
  <c r="N9" i="1" s="1"/>
  <c r="L10" i="1"/>
  <c r="L11" i="1"/>
  <c r="N11" i="1" s="1"/>
  <c r="L3" i="1"/>
  <c r="N3" i="1" s="1"/>
  <c r="P3" i="1"/>
  <c r="L4" i="1"/>
  <c r="N4" i="1" s="1"/>
  <c r="P4" i="1"/>
  <c r="L5" i="1"/>
  <c r="N5" i="1" s="1"/>
  <c r="P5" i="1"/>
</calcChain>
</file>

<file path=xl/sharedStrings.xml><?xml version="1.0" encoding="utf-8"?>
<sst xmlns="http://schemas.openxmlformats.org/spreadsheetml/2006/main" count="79" uniqueCount="29">
  <si>
    <t>Material</t>
  </si>
  <si>
    <t>Cooling lubricant</t>
  </si>
  <si>
    <t>Tool</t>
  </si>
  <si>
    <t>Number of teeth</t>
  </si>
  <si>
    <t>fz</t>
  </si>
  <si>
    <t>Dc</t>
  </si>
  <si>
    <t>Vc</t>
  </si>
  <si>
    <t>factor</t>
  </si>
  <si>
    <t>exact spindle speed</t>
  </si>
  <si>
    <t>spindle speed</t>
  </si>
  <si>
    <t>feedrate</t>
  </si>
  <si>
    <t>S235JR</t>
  </si>
  <si>
    <t>Experiment</t>
  </si>
  <si>
    <t>Steel cutting depth</t>
  </si>
  <si>
    <t xml:space="preserve">Steel S/F </t>
  </si>
  <si>
    <t>VHM 10mm</t>
  </si>
  <si>
    <t>no</t>
  </si>
  <si>
    <t>Experiments: Notch, Plate, Gear</t>
  </si>
  <si>
    <t>Aluminium cutting depth</t>
  </si>
  <si>
    <t xml:space="preserve">Aluminium S/F </t>
  </si>
  <si>
    <t>HSS 10mm</t>
  </si>
  <si>
    <t>AL 2007 T4</t>
  </si>
  <si>
    <t>Steel (S235JR)</t>
  </si>
  <si>
    <t>Aluminium (2007 T4)</t>
  </si>
  <si>
    <t>Aluminium Normal</t>
  </si>
  <si>
    <t>Steel normal</t>
  </si>
  <si>
    <t>Iteration</t>
  </si>
  <si>
    <t>Cutting depth</t>
  </si>
  <si>
    <t>Calculated spindle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</si>
</sst>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theme="0" tint="-4.9989318521683403E-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5" borderId="0" applyNumberFormat="0" applyBorder="0" applyAlignment="0" applyProtection="0"/>
  </cellStyleXfs>
  <cellXfs count="46">
    <xf numFmtId="0" fontId="0" fillId="0" borderId="0" xfId="0"/>
    <xf numFmtId="0" fontId="0" fillId="0" borderId="3" xfId="0" applyBorder="1" applyAlignment="1">
      <alignment horizontal="center"/>
    </xf>
    <xf numFmtId="0" fontId="2" fillId="2" borderId="3" xfId="1" applyFont="1" applyBorder="1" applyAlignment="1">
      <alignment horizontal="center"/>
    </xf>
    <xf numFmtId="1" fontId="2" fillId="2" borderId="4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1" applyFont="1" applyBorder="1" applyAlignment="1">
      <alignment horizontal="center"/>
    </xf>
    <xf numFmtId="1" fontId="2" fillId="2" borderId="6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8" xfId="1" applyFont="1" applyBorder="1" applyAlignment="1">
      <alignment horizontal="center"/>
    </xf>
    <xf numFmtId="1" fontId="2" fillId="2" borderId="9" xfId="1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6" borderId="11" xfId="0" applyFont="1" applyFill="1" applyBorder="1" applyAlignment="1">
      <alignment horizontal="center" vertical="center" textRotation="90"/>
    </xf>
    <xf numFmtId="2" fontId="6" fillId="5" borderId="3" xfId="2" applyNumberFormat="1" applyBorder="1" applyAlignment="1">
      <alignment horizontal="center"/>
    </xf>
    <xf numFmtId="2" fontId="6" fillId="5" borderId="1" xfId="2" applyNumberFormat="1" applyBorder="1" applyAlignment="1">
      <alignment horizontal="center"/>
    </xf>
    <xf numFmtId="2" fontId="6" fillId="5" borderId="8" xfId="2" applyNumberFormat="1" applyBorder="1" applyAlignment="1">
      <alignment horizontal="center"/>
    </xf>
    <xf numFmtId="0" fontId="6" fillId="5" borderId="3" xfId="2" applyBorder="1" applyAlignment="1">
      <alignment horizontal="center"/>
    </xf>
    <xf numFmtId="0" fontId="6" fillId="5" borderId="1" xfId="2" applyBorder="1" applyAlignment="1">
      <alignment horizontal="center"/>
    </xf>
    <xf numFmtId="0" fontId="6" fillId="5" borderId="8" xfId="2" applyBorder="1" applyAlignment="1">
      <alignment horizontal="center"/>
    </xf>
    <xf numFmtId="0" fontId="2" fillId="3" borderId="11" xfId="0" applyFont="1" applyFill="1" applyBorder="1" applyAlignment="1">
      <alignment horizontal="center" vertical="center" textRotation="90" wrapText="1"/>
    </xf>
    <xf numFmtId="0" fontId="2" fillId="3" borderId="12" xfId="0" applyFont="1" applyFill="1" applyBorder="1" applyAlignment="1">
      <alignment horizontal="center" vertical="center" textRotation="90" wrapText="1"/>
    </xf>
    <xf numFmtId="1" fontId="2" fillId="3" borderId="13" xfId="0" applyNumberFormat="1" applyFont="1" applyFill="1" applyBorder="1" applyAlignment="1">
      <alignment horizontal="center" vertical="center" textRotation="90" wrapText="1"/>
    </xf>
    <xf numFmtId="0" fontId="0" fillId="4" borderId="22" xfId="0" applyFill="1" applyBorder="1" applyAlignment="1">
      <alignment horizontal="center"/>
    </xf>
    <xf numFmtId="0" fontId="6" fillId="5" borderId="22" xfId="2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2" fillId="2" borderId="22" xfId="1" applyFont="1" applyBorder="1" applyAlignment="1">
      <alignment horizontal="center"/>
    </xf>
    <xf numFmtId="1" fontId="2" fillId="2" borderId="23" xfId="1" applyNumberFormat="1" applyFont="1" applyBorder="1" applyAlignment="1">
      <alignment horizontal="center"/>
    </xf>
    <xf numFmtId="0" fontId="5" fillId="7" borderId="18" xfId="0" applyFont="1" applyFill="1" applyBorder="1" applyAlignment="1">
      <alignment horizontal="center" vertical="center" textRotation="90"/>
    </xf>
    <xf numFmtId="0" fontId="5" fillId="7" borderId="19" xfId="0" applyFont="1" applyFill="1" applyBorder="1" applyAlignment="1">
      <alignment horizontal="center" vertical="center" textRotation="90"/>
    </xf>
    <xf numFmtId="0" fontId="5" fillId="7" borderId="20" xfId="0" applyFont="1" applyFill="1" applyBorder="1" applyAlignment="1">
      <alignment horizontal="center" vertical="center" textRotation="90"/>
    </xf>
    <xf numFmtId="0" fontId="0" fillId="7" borderId="15" xfId="0" applyFill="1" applyBorder="1" applyAlignment="1">
      <alignment horizontal="center" vertical="center" textRotation="90"/>
    </xf>
    <xf numFmtId="0" fontId="0" fillId="7" borderId="16" xfId="0" applyFill="1" applyBorder="1" applyAlignment="1">
      <alignment horizontal="center" vertical="center" textRotation="90"/>
    </xf>
    <xf numFmtId="0" fontId="0" fillId="7" borderId="17" xfId="0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/>
    </xf>
    <xf numFmtId="0" fontId="0" fillId="4" borderId="11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</cellXfs>
  <cellStyles count="3">
    <cellStyle name="Neutral" xfId="1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BA5-7A55-473A-BC2D-761CF238D5F2}">
  <dimension ref="A1:P23"/>
  <sheetViews>
    <sheetView tabSelected="1" zoomScale="85" zoomScaleNormal="85" workbookViewId="0">
      <selection activeCell="L22" sqref="L22"/>
    </sheetView>
  </sheetViews>
  <sheetFormatPr baseColWidth="10" defaultRowHeight="15" x14ac:dyDescent="0.25"/>
  <cols>
    <col min="1" max="1" width="3.5703125" customWidth="1"/>
    <col min="3" max="3" width="18.140625" customWidth="1"/>
    <col min="4" max="4" width="11.85546875" customWidth="1"/>
  </cols>
  <sheetData>
    <row r="1" spans="1:16" ht="19.5" thickBot="1" x14ac:dyDescent="0.35">
      <c r="A1" s="42" t="s">
        <v>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55.5" customHeight="1" thickBot="1" x14ac:dyDescent="0.3">
      <c r="A2" s="17" t="s">
        <v>0</v>
      </c>
      <c r="B2" s="24" t="s">
        <v>12</v>
      </c>
      <c r="C2" s="24" t="s">
        <v>26</v>
      </c>
      <c r="D2" s="25" t="s">
        <v>27</v>
      </c>
      <c r="E2" s="25" t="s">
        <v>1</v>
      </c>
      <c r="F2" s="25" t="s">
        <v>2</v>
      </c>
      <c r="G2" s="25" t="s">
        <v>3</v>
      </c>
      <c r="H2" s="25" t="s">
        <v>4</v>
      </c>
      <c r="I2" s="25" t="s">
        <v>5</v>
      </c>
      <c r="J2" s="25" t="s">
        <v>0</v>
      </c>
      <c r="K2" s="25" t="s">
        <v>6</v>
      </c>
      <c r="L2" s="25" t="s">
        <v>28</v>
      </c>
      <c r="M2" s="25" t="s">
        <v>7</v>
      </c>
      <c r="N2" s="25" t="s">
        <v>8</v>
      </c>
      <c r="O2" s="25" t="s">
        <v>9</v>
      </c>
      <c r="P2" s="26" t="s">
        <v>10</v>
      </c>
    </row>
    <row r="3" spans="1:16" x14ac:dyDescent="0.25">
      <c r="A3" s="33" t="s">
        <v>22</v>
      </c>
      <c r="B3" s="39" t="s">
        <v>25</v>
      </c>
      <c r="C3" s="14">
        <v>1</v>
      </c>
      <c r="D3" s="1">
        <v>6</v>
      </c>
      <c r="E3" s="1" t="s">
        <v>16</v>
      </c>
      <c r="F3" s="1" t="s">
        <v>15</v>
      </c>
      <c r="G3" s="1">
        <v>4</v>
      </c>
      <c r="H3" s="1">
        <v>4.4999999999999998E-2</v>
      </c>
      <c r="I3" s="1">
        <v>10</v>
      </c>
      <c r="J3" s="1" t="s">
        <v>11</v>
      </c>
      <c r="K3" s="1">
        <v>100</v>
      </c>
      <c r="L3" s="1">
        <f t="shared" ref="L3:L20" si="0">K3*1000/(PI()*I3)</f>
        <v>3183.098861837907</v>
      </c>
      <c r="M3" s="10">
        <v>1</v>
      </c>
      <c r="N3" s="1">
        <f t="shared" ref="N3:N20" si="1">L3*M3</f>
        <v>3183.098861837907</v>
      </c>
      <c r="O3" s="2">
        <v>3200</v>
      </c>
      <c r="P3" s="3">
        <f t="shared" ref="P3:P19" si="2">O3*G3*H3</f>
        <v>576</v>
      </c>
    </row>
    <row r="4" spans="1:16" x14ac:dyDescent="0.25">
      <c r="A4" s="34"/>
      <c r="B4" s="40"/>
      <c r="C4" s="13">
        <v>2</v>
      </c>
      <c r="D4" s="4">
        <v>6</v>
      </c>
      <c r="E4" s="4" t="s">
        <v>16</v>
      </c>
      <c r="F4" s="4" t="s">
        <v>15</v>
      </c>
      <c r="G4" s="4">
        <v>4</v>
      </c>
      <c r="H4" s="4">
        <v>4.4999999999999998E-2</v>
      </c>
      <c r="I4" s="4">
        <v>10</v>
      </c>
      <c r="J4" s="4" t="s">
        <v>11</v>
      </c>
      <c r="K4" s="4">
        <v>100</v>
      </c>
      <c r="L4" s="4">
        <f t="shared" si="0"/>
        <v>3183.098861837907</v>
      </c>
      <c r="M4" s="11">
        <v>1</v>
      </c>
      <c r="N4" s="4">
        <f t="shared" si="1"/>
        <v>3183.098861837907</v>
      </c>
      <c r="O4" s="5">
        <v>3200</v>
      </c>
      <c r="P4" s="6">
        <f t="shared" si="2"/>
        <v>576</v>
      </c>
    </row>
    <row r="5" spans="1:16" ht="15.75" thickBot="1" x14ac:dyDescent="0.3">
      <c r="A5" s="34"/>
      <c r="B5" s="41"/>
      <c r="C5" s="15">
        <v>3</v>
      </c>
      <c r="D5" s="7">
        <v>6</v>
      </c>
      <c r="E5" s="7" t="s">
        <v>16</v>
      </c>
      <c r="F5" s="7" t="s">
        <v>15</v>
      </c>
      <c r="G5" s="7">
        <v>4</v>
      </c>
      <c r="H5" s="7">
        <v>4.4999999999999998E-2</v>
      </c>
      <c r="I5" s="7">
        <v>10</v>
      </c>
      <c r="J5" s="7" t="s">
        <v>11</v>
      </c>
      <c r="K5" s="7">
        <v>100</v>
      </c>
      <c r="L5" s="7">
        <f t="shared" si="0"/>
        <v>3183.098861837907</v>
      </c>
      <c r="M5" s="12">
        <v>1</v>
      </c>
      <c r="N5" s="7">
        <f t="shared" si="1"/>
        <v>3183.098861837907</v>
      </c>
      <c r="O5" s="8">
        <v>3200</v>
      </c>
      <c r="P5" s="9">
        <f t="shared" si="2"/>
        <v>576</v>
      </c>
    </row>
    <row r="6" spans="1:16" x14ac:dyDescent="0.25">
      <c r="A6" s="34"/>
      <c r="B6" s="39" t="s">
        <v>13</v>
      </c>
      <c r="C6" s="14">
        <v>1</v>
      </c>
      <c r="D6" s="21">
        <v>3</v>
      </c>
      <c r="E6" s="1" t="s">
        <v>16</v>
      </c>
      <c r="F6" s="1" t="s">
        <v>15</v>
      </c>
      <c r="G6" s="1">
        <v>4</v>
      </c>
      <c r="H6" s="1">
        <v>4.4999999999999998E-2</v>
      </c>
      <c r="I6" s="1">
        <v>10</v>
      </c>
      <c r="J6" s="1" t="s">
        <v>11</v>
      </c>
      <c r="K6" s="1">
        <v>100</v>
      </c>
      <c r="L6" s="1">
        <f t="shared" si="0"/>
        <v>3183.098861837907</v>
      </c>
      <c r="M6" s="10">
        <v>1</v>
      </c>
      <c r="N6" s="1">
        <f t="shared" si="1"/>
        <v>3183.098861837907</v>
      </c>
      <c r="O6" s="2">
        <v>3200</v>
      </c>
      <c r="P6" s="3">
        <f t="shared" si="2"/>
        <v>576</v>
      </c>
    </row>
    <row r="7" spans="1:16" x14ac:dyDescent="0.25">
      <c r="A7" s="34"/>
      <c r="B7" s="40"/>
      <c r="C7" s="13">
        <v>2</v>
      </c>
      <c r="D7" s="22">
        <v>6</v>
      </c>
      <c r="E7" s="4" t="s">
        <v>16</v>
      </c>
      <c r="F7" s="4" t="s">
        <v>15</v>
      </c>
      <c r="G7" s="4">
        <v>4</v>
      </c>
      <c r="H7" s="4">
        <v>4.4999999999999998E-2</v>
      </c>
      <c r="I7" s="4">
        <v>10</v>
      </c>
      <c r="J7" s="4" t="s">
        <v>11</v>
      </c>
      <c r="K7" s="4">
        <v>100</v>
      </c>
      <c r="L7" s="4">
        <f t="shared" si="0"/>
        <v>3183.098861837907</v>
      </c>
      <c r="M7" s="11">
        <v>1</v>
      </c>
      <c r="N7" s="4">
        <f t="shared" si="1"/>
        <v>3183.098861837907</v>
      </c>
      <c r="O7" s="5">
        <v>3200</v>
      </c>
      <c r="P7" s="6">
        <f t="shared" si="2"/>
        <v>576</v>
      </c>
    </row>
    <row r="8" spans="1:16" ht="15.75" thickBot="1" x14ac:dyDescent="0.3">
      <c r="A8" s="34"/>
      <c r="B8" s="41"/>
      <c r="C8" s="15">
        <v>3</v>
      </c>
      <c r="D8" s="23">
        <v>12</v>
      </c>
      <c r="E8" s="7" t="s">
        <v>16</v>
      </c>
      <c r="F8" s="7" t="s">
        <v>15</v>
      </c>
      <c r="G8" s="7">
        <v>4</v>
      </c>
      <c r="H8" s="7">
        <v>4.4999999999999998E-2</v>
      </c>
      <c r="I8" s="7">
        <v>10</v>
      </c>
      <c r="J8" s="7" t="s">
        <v>11</v>
      </c>
      <c r="K8" s="7">
        <v>100</v>
      </c>
      <c r="L8" s="7">
        <f t="shared" si="0"/>
        <v>3183.098861837907</v>
      </c>
      <c r="M8" s="12">
        <v>1</v>
      </c>
      <c r="N8" s="7">
        <f t="shared" si="1"/>
        <v>3183.098861837907</v>
      </c>
      <c r="O8" s="8">
        <v>3200</v>
      </c>
      <c r="P8" s="9">
        <f t="shared" si="2"/>
        <v>576</v>
      </c>
    </row>
    <row r="9" spans="1:16" x14ac:dyDescent="0.25">
      <c r="A9" s="34"/>
      <c r="B9" s="39" t="s">
        <v>14</v>
      </c>
      <c r="C9" s="14">
        <v>1</v>
      </c>
      <c r="D9" s="1">
        <v>6</v>
      </c>
      <c r="E9" s="1" t="s">
        <v>16</v>
      </c>
      <c r="F9" s="1" t="s">
        <v>15</v>
      </c>
      <c r="G9" s="1">
        <v>4</v>
      </c>
      <c r="H9" s="1">
        <v>4.4999999999999998E-2</v>
      </c>
      <c r="I9" s="1">
        <v>10</v>
      </c>
      <c r="J9" s="1" t="s">
        <v>11</v>
      </c>
      <c r="K9" s="1">
        <v>100</v>
      </c>
      <c r="L9" s="1">
        <f t="shared" si="0"/>
        <v>3183.098861837907</v>
      </c>
      <c r="M9" s="18">
        <v>0.75</v>
      </c>
      <c r="N9" s="1">
        <f t="shared" si="1"/>
        <v>2387.3241463784302</v>
      </c>
      <c r="O9" s="2">
        <v>2400</v>
      </c>
      <c r="P9" s="3">
        <v>432</v>
      </c>
    </row>
    <row r="10" spans="1:16" x14ac:dyDescent="0.25">
      <c r="A10" s="34"/>
      <c r="B10" s="40"/>
      <c r="C10" s="13">
        <v>2</v>
      </c>
      <c r="D10" s="4">
        <v>6</v>
      </c>
      <c r="E10" s="4" t="s">
        <v>16</v>
      </c>
      <c r="F10" s="4" t="s">
        <v>15</v>
      </c>
      <c r="G10" s="4">
        <v>4</v>
      </c>
      <c r="H10" s="4">
        <v>4.4999999999999998E-2</v>
      </c>
      <c r="I10" s="4">
        <v>10</v>
      </c>
      <c r="J10" s="4" t="s">
        <v>11</v>
      </c>
      <c r="K10" s="4">
        <v>100</v>
      </c>
      <c r="L10" s="4">
        <f t="shared" si="0"/>
        <v>3183.098861837907</v>
      </c>
      <c r="M10" s="19">
        <v>1</v>
      </c>
      <c r="N10" s="4">
        <f t="shared" si="1"/>
        <v>3183.098861837907</v>
      </c>
      <c r="O10" s="5">
        <v>3200</v>
      </c>
      <c r="P10" s="6">
        <f t="shared" si="2"/>
        <v>576</v>
      </c>
    </row>
    <row r="11" spans="1:16" ht="15.75" thickBot="1" x14ac:dyDescent="0.3">
      <c r="A11" s="35"/>
      <c r="B11" s="41"/>
      <c r="C11" s="15">
        <v>3</v>
      </c>
      <c r="D11" s="7">
        <v>6</v>
      </c>
      <c r="E11" s="7" t="s">
        <v>16</v>
      </c>
      <c r="F11" s="7" t="s">
        <v>15</v>
      </c>
      <c r="G11" s="7">
        <v>4</v>
      </c>
      <c r="H11" s="7">
        <v>4.4999999999999998E-2</v>
      </c>
      <c r="I11" s="7">
        <v>10</v>
      </c>
      <c r="J11" s="7" t="s">
        <v>11</v>
      </c>
      <c r="K11" s="7">
        <v>100</v>
      </c>
      <c r="L11" s="7">
        <f t="shared" si="0"/>
        <v>3183.098861837907</v>
      </c>
      <c r="M11" s="20">
        <v>1.25</v>
      </c>
      <c r="N11" s="7">
        <f t="shared" si="1"/>
        <v>3978.8735772973837</v>
      </c>
      <c r="O11" s="8">
        <v>4000</v>
      </c>
      <c r="P11" s="9">
        <v>720</v>
      </c>
    </row>
    <row r="12" spans="1:16" x14ac:dyDescent="0.25">
      <c r="A12" s="36" t="s">
        <v>23</v>
      </c>
      <c r="B12" s="39" t="s">
        <v>24</v>
      </c>
      <c r="C12" s="14">
        <v>1</v>
      </c>
      <c r="D12" s="1">
        <v>6</v>
      </c>
      <c r="E12" s="1" t="s">
        <v>16</v>
      </c>
      <c r="F12" s="1" t="s">
        <v>20</v>
      </c>
      <c r="G12" s="1">
        <v>4</v>
      </c>
      <c r="H12" s="1">
        <v>2.3E-2</v>
      </c>
      <c r="I12" s="1">
        <v>10</v>
      </c>
      <c r="J12" s="1" t="s">
        <v>21</v>
      </c>
      <c r="K12" s="1">
        <v>120</v>
      </c>
      <c r="L12" s="1">
        <f t="shared" si="0"/>
        <v>3819.7186342054883</v>
      </c>
      <c r="M12" s="10">
        <v>1</v>
      </c>
      <c r="N12" s="1">
        <f t="shared" si="1"/>
        <v>3819.7186342054883</v>
      </c>
      <c r="O12" s="2">
        <v>3800</v>
      </c>
      <c r="P12" s="3">
        <f t="shared" si="2"/>
        <v>349.59999999999997</v>
      </c>
    </row>
    <row r="13" spans="1:16" x14ac:dyDescent="0.25">
      <c r="A13" s="37"/>
      <c r="B13" s="40"/>
      <c r="C13" s="13">
        <v>2</v>
      </c>
      <c r="D13" s="4">
        <v>6</v>
      </c>
      <c r="E13" s="4" t="s">
        <v>16</v>
      </c>
      <c r="F13" s="4" t="s">
        <v>20</v>
      </c>
      <c r="G13" s="4">
        <v>4</v>
      </c>
      <c r="H13" s="4">
        <v>2.3E-2</v>
      </c>
      <c r="I13" s="4">
        <v>10</v>
      </c>
      <c r="J13" s="4" t="s">
        <v>21</v>
      </c>
      <c r="K13" s="4">
        <v>120</v>
      </c>
      <c r="L13" s="4">
        <f t="shared" si="0"/>
        <v>3819.7186342054883</v>
      </c>
      <c r="M13" s="11">
        <v>1</v>
      </c>
      <c r="N13" s="4">
        <f t="shared" si="1"/>
        <v>3819.7186342054883</v>
      </c>
      <c r="O13" s="5">
        <v>3800</v>
      </c>
      <c r="P13" s="6">
        <f t="shared" si="2"/>
        <v>349.59999999999997</v>
      </c>
    </row>
    <row r="14" spans="1:16" ht="15.75" thickBot="1" x14ac:dyDescent="0.3">
      <c r="A14" s="37"/>
      <c r="B14" s="41"/>
      <c r="C14" s="15">
        <v>3</v>
      </c>
      <c r="D14" s="7">
        <v>6</v>
      </c>
      <c r="E14" s="7" t="s">
        <v>16</v>
      </c>
      <c r="F14" s="7" t="s">
        <v>20</v>
      </c>
      <c r="G14" s="7">
        <v>4</v>
      </c>
      <c r="H14" s="7">
        <v>2.3E-2</v>
      </c>
      <c r="I14" s="7">
        <v>10</v>
      </c>
      <c r="J14" s="7" t="s">
        <v>21</v>
      </c>
      <c r="K14" s="7">
        <v>120</v>
      </c>
      <c r="L14" s="7">
        <f t="shared" si="0"/>
        <v>3819.7186342054883</v>
      </c>
      <c r="M14" s="12">
        <v>1</v>
      </c>
      <c r="N14" s="7">
        <f t="shared" si="1"/>
        <v>3819.7186342054883</v>
      </c>
      <c r="O14" s="8">
        <v>3800</v>
      </c>
      <c r="P14" s="9">
        <f t="shared" si="2"/>
        <v>349.59999999999997</v>
      </c>
    </row>
    <row r="15" spans="1:16" ht="15" customHeight="1" x14ac:dyDescent="0.25">
      <c r="A15" s="37"/>
      <c r="B15" s="43" t="s">
        <v>18</v>
      </c>
      <c r="C15" s="14">
        <v>1</v>
      </c>
      <c r="D15" s="21">
        <v>3</v>
      </c>
      <c r="E15" s="1" t="s">
        <v>16</v>
      </c>
      <c r="F15" s="1" t="s">
        <v>20</v>
      </c>
      <c r="G15" s="1">
        <v>4</v>
      </c>
      <c r="H15" s="1">
        <v>2.3E-2</v>
      </c>
      <c r="I15" s="1">
        <v>10</v>
      </c>
      <c r="J15" s="1" t="s">
        <v>21</v>
      </c>
      <c r="K15" s="1">
        <v>120</v>
      </c>
      <c r="L15" s="1">
        <f t="shared" si="0"/>
        <v>3819.7186342054883</v>
      </c>
      <c r="M15" s="10">
        <v>1</v>
      </c>
      <c r="N15" s="1">
        <f t="shared" si="1"/>
        <v>3819.7186342054883</v>
      </c>
      <c r="O15" s="2">
        <v>3800</v>
      </c>
      <c r="P15" s="3">
        <f t="shared" si="2"/>
        <v>349.59999999999997</v>
      </c>
    </row>
    <row r="16" spans="1:16" x14ac:dyDescent="0.25">
      <c r="A16" s="37"/>
      <c r="B16" s="44"/>
      <c r="C16" s="13">
        <v>2</v>
      </c>
      <c r="D16" s="22">
        <v>6</v>
      </c>
      <c r="E16" s="4" t="s">
        <v>16</v>
      </c>
      <c r="F16" s="4" t="s">
        <v>20</v>
      </c>
      <c r="G16" s="4">
        <v>4</v>
      </c>
      <c r="H16" s="4">
        <v>2.3E-2</v>
      </c>
      <c r="I16" s="4">
        <v>10</v>
      </c>
      <c r="J16" s="4" t="s">
        <v>21</v>
      </c>
      <c r="K16" s="4">
        <v>120</v>
      </c>
      <c r="L16" s="4">
        <f t="shared" si="0"/>
        <v>3819.7186342054883</v>
      </c>
      <c r="M16" s="11">
        <v>1</v>
      </c>
      <c r="N16" s="4">
        <f t="shared" si="1"/>
        <v>3819.7186342054883</v>
      </c>
      <c r="O16" s="5">
        <v>3800</v>
      </c>
      <c r="P16" s="6">
        <f t="shared" si="2"/>
        <v>349.59999999999997</v>
      </c>
    </row>
    <row r="17" spans="1:16" ht="15.75" thickBot="1" x14ac:dyDescent="0.3">
      <c r="A17" s="37"/>
      <c r="B17" s="45"/>
      <c r="C17" s="27">
        <v>3</v>
      </c>
      <c r="D17" s="28">
        <v>12</v>
      </c>
      <c r="E17" s="29" t="s">
        <v>16</v>
      </c>
      <c r="F17" s="29" t="s">
        <v>20</v>
      </c>
      <c r="G17" s="29">
        <v>4</v>
      </c>
      <c r="H17" s="29">
        <v>2.3E-2</v>
      </c>
      <c r="I17" s="29">
        <v>10</v>
      </c>
      <c r="J17" s="29" t="s">
        <v>21</v>
      </c>
      <c r="K17" s="29">
        <v>120</v>
      </c>
      <c r="L17" s="29">
        <f t="shared" si="0"/>
        <v>3819.7186342054883</v>
      </c>
      <c r="M17" s="30">
        <v>1</v>
      </c>
      <c r="N17" s="29">
        <f t="shared" si="1"/>
        <v>3819.7186342054883</v>
      </c>
      <c r="O17" s="31">
        <v>3800</v>
      </c>
      <c r="P17" s="32">
        <f t="shared" si="2"/>
        <v>349.59999999999997</v>
      </c>
    </row>
    <row r="18" spans="1:16" x14ac:dyDescent="0.25">
      <c r="A18" s="37"/>
      <c r="B18" s="39" t="s">
        <v>19</v>
      </c>
      <c r="C18" s="14">
        <v>1</v>
      </c>
      <c r="D18" s="1">
        <v>6</v>
      </c>
      <c r="E18" s="1" t="s">
        <v>16</v>
      </c>
      <c r="F18" s="1" t="s">
        <v>20</v>
      </c>
      <c r="G18" s="1">
        <v>4</v>
      </c>
      <c r="H18" s="1">
        <v>2.3E-2</v>
      </c>
      <c r="I18" s="1">
        <v>10</v>
      </c>
      <c r="J18" s="1" t="s">
        <v>21</v>
      </c>
      <c r="K18" s="1">
        <v>120</v>
      </c>
      <c r="L18" s="1">
        <f t="shared" si="0"/>
        <v>3819.7186342054883</v>
      </c>
      <c r="M18" s="18">
        <v>0.75</v>
      </c>
      <c r="N18" s="1">
        <f t="shared" si="1"/>
        <v>2864.7889756541163</v>
      </c>
      <c r="O18" s="2">
        <v>2900</v>
      </c>
      <c r="P18" s="3">
        <v>266.8</v>
      </c>
    </row>
    <row r="19" spans="1:16" x14ac:dyDescent="0.25">
      <c r="A19" s="37"/>
      <c r="B19" s="40"/>
      <c r="C19" s="13">
        <v>2</v>
      </c>
      <c r="D19" s="4">
        <v>6</v>
      </c>
      <c r="E19" s="4" t="s">
        <v>16</v>
      </c>
      <c r="F19" s="4" t="s">
        <v>20</v>
      </c>
      <c r="G19" s="4">
        <v>4</v>
      </c>
      <c r="H19" s="4">
        <v>2.3E-2</v>
      </c>
      <c r="I19" s="4">
        <v>10</v>
      </c>
      <c r="J19" s="4" t="s">
        <v>21</v>
      </c>
      <c r="K19" s="4">
        <v>120</v>
      </c>
      <c r="L19" s="4">
        <f t="shared" si="0"/>
        <v>3819.7186342054883</v>
      </c>
      <c r="M19" s="19">
        <v>1</v>
      </c>
      <c r="N19" s="4">
        <f t="shared" si="1"/>
        <v>3819.7186342054883</v>
      </c>
      <c r="O19" s="5">
        <v>3800</v>
      </c>
      <c r="P19" s="6">
        <f t="shared" si="2"/>
        <v>349.59999999999997</v>
      </c>
    </row>
    <row r="20" spans="1:16" ht="15.75" thickBot="1" x14ac:dyDescent="0.3">
      <c r="A20" s="38"/>
      <c r="B20" s="41"/>
      <c r="C20" s="15">
        <v>3</v>
      </c>
      <c r="D20" s="7">
        <v>6</v>
      </c>
      <c r="E20" s="7" t="s">
        <v>16</v>
      </c>
      <c r="F20" s="7" t="s">
        <v>20</v>
      </c>
      <c r="G20" s="7">
        <v>4</v>
      </c>
      <c r="H20" s="7">
        <v>2.3E-2</v>
      </c>
      <c r="I20" s="7">
        <v>10</v>
      </c>
      <c r="J20" s="7" t="s">
        <v>21</v>
      </c>
      <c r="K20" s="7">
        <v>120</v>
      </c>
      <c r="L20" s="7">
        <f t="shared" si="0"/>
        <v>3819.7186342054883</v>
      </c>
      <c r="M20" s="20">
        <v>1.25</v>
      </c>
      <c r="N20" s="7">
        <f t="shared" si="1"/>
        <v>4774.6482927568604</v>
      </c>
      <c r="O20" s="8">
        <v>4800</v>
      </c>
      <c r="P20" s="9">
        <v>441.59999999999997</v>
      </c>
    </row>
    <row r="22" spans="1:16" x14ac:dyDescent="0.25">
      <c r="F22" s="16"/>
    </row>
    <row r="23" spans="1:16" x14ac:dyDescent="0.25">
      <c r="F23" s="16"/>
    </row>
  </sheetData>
  <mergeCells count="9">
    <mergeCell ref="A3:A11"/>
    <mergeCell ref="A12:A20"/>
    <mergeCell ref="B12:B14"/>
    <mergeCell ref="A1:P1"/>
    <mergeCell ref="B9:B11"/>
    <mergeCell ref="B18:B20"/>
    <mergeCell ref="B15:B17"/>
    <mergeCell ref="B6:B8"/>
    <mergeCell ref="B3:B5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Stroebel, Robin (wbk)</dc:creator>
  <cp:lastModifiedBy>Mau, Marcus (WBK)</cp:lastModifiedBy>
  <dcterms:created xsi:type="dcterms:W3CDTF">2024-02-07T12:31:51Z</dcterms:created>
  <dcterms:modified xsi:type="dcterms:W3CDTF">2025-04-03T16:02:25Z</dcterms:modified>
</cp:coreProperties>
</file>